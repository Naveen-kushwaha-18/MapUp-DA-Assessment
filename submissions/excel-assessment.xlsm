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navee\Documents\mapup\MapUp-DA-Assessment-2024\"/>
    </mc:Choice>
  </mc:AlternateContent>
  <xr:revisionPtr revIDLastSave="0" documentId="13_ncr:1_{AF9107C4-7937-419C-9599-86322F519596}" xr6:coauthVersionLast="47" xr6:coauthVersionMax="47" xr10:uidLastSave="{00000000-0000-0000-0000-000000000000}"/>
  <bookViews>
    <workbookView xWindow="-108" yWindow="-108" windowWidth="23256" windowHeight="1245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B7" i="18" l="1"/>
  <c r="C7" i="18"/>
  <c r="D7" i="18"/>
  <c r="E7" i="18"/>
  <c r="F7" i="18"/>
  <c r="F29" i="18" s="1"/>
  <c r="B8" i="18"/>
  <c r="C8" i="18"/>
  <c r="C30" i="18" s="1"/>
  <c r="D8" i="18"/>
  <c r="E8" i="18"/>
  <c r="E29" i="18" s="1"/>
  <c r="F8" i="18"/>
  <c r="B9" i="18"/>
  <c r="C9" i="18"/>
  <c r="D9" i="18"/>
  <c r="E9" i="18"/>
  <c r="F9" i="18"/>
  <c r="B10" i="18"/>
  <c r="C10" i="18"/>
  <c r="D10" i="18"/>
  <c r="E10" i="18"/>
  <c r="F10" i="18"/>
  <c r="B11" i="18"/>
  <c r="C11" i="18"/>
  <c r="D11" i="18"/>
  <c r="E11" i="18"/>
  <c r="F11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16" i="18"/>
  <c r="C16" i="18"/>
  <c r="D16" i="18"/>
  <c r="E16" i="18"/>
  <c r="F16" i="18"/>
  <c r="B17" i="18"/>
  <c r="C17" i="18"/>
  <c r="D17" i="18"/>
  <c r="E17" i="18"/>
  <c r="F17" i="18"/>
  <c r="F28" i="18" s="1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23" i="18"/>
  <c r="C23" i="18"/>
  <c r="D23" i="18"/>
  <c r="E23" i="18"/>
  <c r="F23" i="18"/>
  <c r="B24" i="18"/>
  <c r="C24" i="18"/>
  <c r="D24" i="18"/>
  <c r="E24" i="18"/>
  <c r="F24" i="18"/>
  <c r="B25" i="18"/>
  <c r="C25" i="18"/>
  <c r="D25" i="18"/>
  <c r="E25" i="18"/>
  <c r="F25" i="18"/>
  <c r="F30" i="18" s="1"/>
  <c r="B26" i="18"/>
  <c r="C26" i="18"/>
  <c r="C28" i="18" s="1"/>
  <c r="D26" i="18"/>
  <c r="E26" i="18"/>
  <c r="F26" i="18"/>
  <c r="B27" i="18"/>
  <c r="C27" i="18"/>
  <c r="D27" i="18"/>
  <c r="E27" i="18"/>
  <c r="F27" i="18"/>
  <c r="C6" i="18"/>
  <c r="D6" i="18"/>
  <c r="E6" i="18"/>
  <c r="F6" i="18"/>
  <c r="B6" i="18"/>
  <c r="C5" i="15"/>
  <c r="C22" i="19"/>
  <c r="C24" i="20"/>
  <c r="C25" i="20"/>
  <c r="C26" i="20"/>
  <c r="C27" i="20"/>
  <c r="C28" i="20"/>
  <c r="C29" i="20"/>
  <c r="C30" i="20"/>
  <c r="C31" i="20"/>
  <c r="C32" i="20"/>
  <c r="C33" i="20"/>
  <c r="C34" i="20"/>
  <c r="C35" i="20"/>
  <c r="C23" i="20"/>
  <c r="B28" i="18" l="1"/>
  <c r="E30" i="18"/>
  <c r="E28" i="18"/>
  <c r="D28" i="18"/>
  <c r="C29" i="18"/>
  <c r="D29" i="18"/>
  <c r="D30" i="18"/>
  <c r="B29" i="18"/>
  <c r="B30" i="18"/>
</calcChain>
</file>

<file path=xl/sharedStrings.xml><?xml version="1.0" encoding="utf-8"?>
<sst xmlns="http://schemas.openxmlformats.org/spreadsheetml/2006/main" count="406" uniqueCount="184">
  <si>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</si>
  <si>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</si>
  <si>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</si>
  <si>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</si>
  <si>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</si>
  <si>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</si>
  <si>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</si>
  <si>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</si>
  <si>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</si>
  <si>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</si>
  <si>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</si>
  <si>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</si>
  <si>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</si>
  <si>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</si>
  <si>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</si>
  <si>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</si>
  <si>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</si>
  <si>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</si>
  <si>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</si>
  <si>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</si>
  <si>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</si>
  <si>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</si>
  <si>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</si>
  <si>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</si>
  <si>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</si>
  <si>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</si>
  <si>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</si>
  <si>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</si>
  <si>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</si>
  <si>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</si>
  <si>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</si>
  <si>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</si>
  <si>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</si>
  <si>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</si>
  <si>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</si>
  <si>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</si>
  <si>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</si>
  <si>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</si>
  <si>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</si>
  <si>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</si>
  <si>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</si>
  <si>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</si>
  <si>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</si>
  <si>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</si>
  <si>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</si>
  <si>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</si>
  <si>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</si>
  <si>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</si>
  <si>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</si>
  <si>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</si>
  <si>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</si>
  <si>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</si>
  <si>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</si>
  <si>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</si>
  <si>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</si>
  <si>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</si>
  <si>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</si>
  <si>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</si>
  <si>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</si>
  <si>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</si>
  <si>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</si>
  <si>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</si>
  <si>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</si>
  <si>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</si>
  <si>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</si>
  <si>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</si>
  <si>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</si>
  <si>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</si>
  <si>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</si>
  <si>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</si>
  <si>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</si>
  <si>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</si>
  <si>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</si>
  <si>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</si>
  <si>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</si>
  <si>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</si>
  <si>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</si>
  <si>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</si>
  <si>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</si>
  <si>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</si>
  <si>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</si>
  <si>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</si>
  <si>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</si>
  <si>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</si>
  <si>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</si>
  <si>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</si>
  <si>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</si>
  <si>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</si>
  <si>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</si>
  <si>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</si>
  <si>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</si>
  <si>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</si>
  <si>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</si>
  <si>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</si>
  <si>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</si>
  <si>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</si>
  <si>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</si>
  <si>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</si>
  <si>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</si>
  <si>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</si>
  <si>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</si>
  <si>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</si>
  <si>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</si>
  <si>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</si>
  <si>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</si>
  <si>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</si>
  <si>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</si>
  <si>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</si>
  <si>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</si>
  <si>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</si>
  <si>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</si>
  <si>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</si>
  <si>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</si>
  <si>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</si>
  <si>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</si>
  <si>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</si>
  <si>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</si>
  <si>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</si>
  <si>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</si>
  <si>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</si>
  <si>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</si>
  <si>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</si>
  <si>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</si>
  <si>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</si>
  <si>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</si>
  <si>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</si>
  <si>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</si>
  <si>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</si>
  <si>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</si>
  <si>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</si>
  <si>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</si>
  <si>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</si>
  <si>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</si>
  <si>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</si>
  <si>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</si>
  <si>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</si>
  <si>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</si>
  <si>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</si>
  <si>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</si>
  <si>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</si>
  <si>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</si>
  <si>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</si>
  <si>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</si>
  <si>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</si>
  <si>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</si>
  <si>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</si>
  <si>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</si>
  <si>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</si>
  <si>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</si>
  <si>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</si>
  <si>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</si>
  <si>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</si>
  <si>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</si>
  <si>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</si>
  <si>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</si>
  <si>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</si>
  <si>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</si>
  <si>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</si>
  <si>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</si>
  <si>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</si>
  <si>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</si>
  <si>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</si>
  <si>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</si>
  <si>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</si>
  <si>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</si>
  <si>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</si>
  <si>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</si>
  <si>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</si>
  <si>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</si>
  <si>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</si>
  <si>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</si>
  <si>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</si>
  <si>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</si>
  <si>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</si>
  <si>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</si>
  <si>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</si>
  <si>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</si>
  <si>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INDEX(B10:J18,MATCH(INDEX(N10:N18,MATCH(A23,M10:M18)),A10:A18),MATCH(INDEX(N10:N18,MATCH(B23,M10:M18)),B9:J9))</t>
  </si>
  <si>
    <t xml:space="preserve">Formula/Functionality used: </t>
  </si>
  <si>
    <t>This formula retrieves a value from the range Table_A(B10:J18) by matching values in columns Table_B(M and N) based on inputs from A23 and B23. It first finds the corresponding row and column, then returns the value at their intersection.</t>
  </si>
  <si>
    <t>AGGREGATE(9,6,C12:C21)+COUNTIF(C12:C21,#N/A)*20</t>
  </si>
  <si>
    <r>
      <rPr>
        <sz val="10"/>
        <color rgb="FF000000"/>
        <rFont val="Calibri"/>
        <family val="2"/>
        <scheme val="minor"/>
      </rPr>
      <t>The formula sums the values in C12:C21, ignoring any #N/A errors using the AGGREGATE function. It then adds 20 for each #N/A value, ensuring they are accounted for in the total</t>
    </r>
    <r>
      <rPr>
        <sz val="10"/>
        <color rgb="FF000000"/>
        <rFont val="Times New Roman"/>
        <family val="1"/>
      </rPr>
      <t>.</t>
    </r>
  </si>
  <si>
    <t>Text to Columns</t>
  </si>
  <si>
    <t>Used delimiter "-" to seprate the single column data to multiple column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</si>
</sst>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70" formatCode="yyyy/mm/dd;@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rgb="FF000000"/>
      <name val="Times New Roman"/>
      <family val="2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2" fillId="0" borderId="0" xfId="0" applyFont="1"/>
    <xf numFmtId="0" fontId="18" fillId="0" borderId="0" xfId="0" applyFont="1"/>
    <xf numFmtId="164" fontId="3" fillId="6" borderId="0" xfId="0" applyNumberFormat="1" applyFont="1" applyFill="1"/>
    <xf numFmtId="170" fontId="7" fillId="0" borderId="0" xfId="0" applyNumberFormat="1" applyFont="1"/>
    <xf numFmtId="170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1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rgb="FF000000"/>
          <bgColor rgb="FFB1A0C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70" formatCode="yyyy/mm/d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4" formatCode="h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4" formatCode="hh:mm:ss;@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40"/>
      <tableStyleElement type="headerRow" dxfId="3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DA8089E-228D-42F3-8663-AF4037775E01}" name="Table1" displayName="Table1" ref="A1:X40" totalsRowShown="0" headerRowDxfId="10" dataDxfId="11">
  <tableColumns count="24">
    <tableColumn id="1" xr3:uid="{CB035620-F57F-4BC1-AA58-B403A572B0A6}" name="name" dataDxfId="35"/>
    <tableColumn id="2" xr3:uid="{C5F8B2C6-D723-474A-9035-ED1368E3A3DE}" name="ID" dataDxfId="34"/>
    <tableColumn id="3" xr3:uid="{7CD9C606-66CD-4A06-828F-25CA2A1B4670}" name="start_day" dataDxfId="33"/>
    <tableColumn id="4" xr3:uid="{0D45E491-C950-4438-892E-F32590BCAFFD}" name="start_time" dataDxfId="32"/>
    <tableColumn id="5" xr3:uid="{CF10645E-A22D-4EE7-B51F-CAAFEEAF2C9A}" name="end_day" dataDxfId="31"/>
    <tableColumn id="6" xr3:uid="{699DEC10-E36D-44CA-BB18-5EE633A33035}" name="end_time" dataDxfId="30"/>
    <tableColumn id="7" xr3:uid="{138EB2FF-3A0C-469C-8F93-729B4E02DE82}" name="car1" dataDxfId="29"/>
    <tableColumn id="8" xr3:uid="{6E6786D4-870E-4365-A656-88E47ECF3FA2}" name="car2" dataDxfId="28"/>
    <tableColumn id="9" xr3:uid="{46A570A7-4737-465B-8E05-F7B37F11923B}" name="car3" dataDxfId="27"/>
    <tableColumn id="10" xr3:uid="{BB263A16-2927-4BF7-A0CA-4DBF6739D806}" name="moto1" dataDxfId="26"/>
    <tableColumn id="11" xr3:uid="{39716EB9-FA46-4843-8FB9-D102E4BD72A4}" name="moto2" dataDxfId="25"/>
    <tableColumn id="12" xr3:uid="{0A23ACC3-AFC8-410A-928C-1811D3DFD1C7}" name="moto3" dataDxfId="24"/>
    <tableColumn id="13" xr3:uid="{E25B28EF-44F6-44E6-9CFB-EB196A353CC1}" name="bus1" dataDxfId="23"/>
    <tableColumn id="14" xr3:uid="{5ABB5286-CA84-4D9D-A568-EBAD492FE34F}" name="bus2" dataDxfId="22"/>
    <tableColumn id="15" xr3:uid="{C2FD1ABD-5309-4E40-80FB-428BFE5947F0}" name="bus3" dataDxfId="21"/>
    <tableColumn id="16" xr3:uid="{7F609804-2D42-4B33-AF3A-85D5615C1699}" name="rv1" dataDxfId="20"/>
    <tableColumn id="17" xr3:uid="{99AAC38C-0FF3-4ED0-A7C6-F3F8141C25BC}" name="rv2" dataDxfId="19"/>
    <tableColumn id="18" xr3:uid="{D44EB073-BAE4-41DE-8D46-D98E6BC110DB}" name="rv3" dataDxfId="18"/>
    <tableColumn id="19" xr3:uid="{EEE4608D-83DF-411C-ACCD-052BCB2B8276}" name="truck1" dataDxfId="17"/>
    <tableColumn id="20" xr3:uid="{3F6E40C8-0907-468B-9576-BC6C93875569}" name="truck2" dataDxfId="16"/>
    <tableColumn id="21" xr3:uid="{90137000-3E3E-473E-95B8-3AFAF76D5CDC}" name="taxi1" dataDxfId="15"/>
    <tableColumn id="22" xr3:uid="{DFDAAF1E-5B85-4430-9ED9-A33349F22849}" name="taxi2" dataDxfId="14"/>
    <tableColumn id="23" xr3:uid="{4E78D232-A6DA-48B0-9F8B-BB9970ECB8C3}" name="taxi3" dataDxfId="13"/>
    <tableColumn id="24" xr3:uid="{7E88A8ED-5622-4F08-B689-6BC1043DBA1E}" name="date" dataDxfId="12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176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5" t="s">
        <v>170</v>
      </c>
      <c r="B9" s="25" t="s">
        <v>168</v>
      </c>
    </row>
    <row r="10" spans="1:3" x14ac:dyDescent="0.3">
      <c r="A10" s="34" t="s">
        <v>171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169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opLeftCell="L1" zoomScaleNormal="100" workbookViewId="0">
      <pane ySplit="1" topLeftCell="A16" activePane="bottomLeft" state="frozen"/>
      <selection activeCell="L1" sqref="L1"/>
      <selection pane="bottomLeft" activeCell="A9" sqref="A9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10.77734375" style="1" customWidth="1"/>
    <col min="4" max="4" width="11.44140625" style="23" customWidth="1"/>
    <col min="5" max="5" width="10.21875" style="1" customWidth="1"/>
    <col min="6" max="6" width="10.88671875" style="23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8" bestFit="1" customWidth="1"/>
    <col min="25" max="16384" width="9" style="1"/>
  </cols>
  <sheetData>
    <row r="1" spans="1:24" s="3" customFormat="1" ht="14.7" customHeight="1" x14ac:dyDescent="0.3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7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46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8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46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8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46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8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46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8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46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8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46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8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46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8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46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8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46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8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46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8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46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8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46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8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46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8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46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8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46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8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46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8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46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8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46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8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46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8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46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8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46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8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46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8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46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8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46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8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46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8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46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8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46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8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46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8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46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8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46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8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46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8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46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8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46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8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46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8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46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8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46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8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46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8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46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8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46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8">
        <v>45162</v>
      </c>
    </row>
  </sheetData>
  <conditionalFormatting sqref="A1:A1048576">
    <cfRule type="duplicateValues" dxfId="9" priority="5"/>
  </conditionalFormatting>
  <conditionalFormatting sqref="B1:B1048576">
    <cfRule type="duplicateValues" dxfId="8" priority="4"/>
  </conditionalFormatting>
  <conditionalFormatting sqref="A1:X40">
    <cfRule type="cellIs" dxfId="7" priority="1" operator="equal">
      <formula>0</formula>
    </cfRule>
    <cfRule type="cellIs" dxfId="6" priority="3" operator="equal">
      <formula>-1</formula>
    </cfRule>
  </conditionalFormatting>
  <conditionalFormatting sqref="A1">
    <cfRule type="cellIs" dxfId="5" priority="2" operator="equal">
      <formula>0</formula>
    </cfRule>
  </conditionalFormatting>
  <pageMargins left="0.75" right="0.75" top="1" bottom="1" header="0.5" footer="0.5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5" sqref="C5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3">
      <c r="A2" s="2"/>
      <c r="B2" s="5" t="s">
        <v>159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3">
        <f>SUMIF(Dataset!H2:H40,"&gt;20")</f>
        <v>1473.0000000000002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H20" sqref="H20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0" customFormat="1" ht="21" x14ac:dyDescent="0.4">
      <c r="A1" s="41" t="s">
        <v>55</v>
      </c>
      <c r="B1" s="40" t="s">
        <v>163</v>
      </c>
    </row>
    <row r="2" spans="1:7" s="40" customFormat="1" ht="21" x14ac:dyDescent="0.4">
      <c r="B2" s="40" t="s">
        <v>160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7" t="s">
        <v>161</v>
      </c>
      <c r="B4" s="1"/>
      <c r="C4" s="1"/>
      <c r="D4" s="1"/>
      <c r="E4" s="1"/>
      <c r="F4" s="1"/>
      <c r="G4" s="1"/>
    </row>
    <row r="5" spans="1:7" ht="14.4" x14ac:dyDescent="0.3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4" x14ac:dyDescent="0.3">
      <c r="A6" s="7" t="s">
        <v>40</v>
      </c>
      <c r="B6" s="2">
        <f>INDEX(Dataset!$G$2:$W$40,MATCH(Task_2!$A6,Dataset!$A$2:$A$40,0),MATCH(Task_2!B$5,Dataset!$G$1:$W$1,0))</f>
        <v>2.7</v>
      </c>
      <c r="C6" s="2">
        <f>INDEX(Dataset!$G$2:$W$40,MATCH(Task_2!$A6,Dataset!$A$2:$A$40,0),MATCH(Task_2!C$5,Dataset!$G$1:$W$1,0))</f>
        <v>7.6</v>
      </c>
      <c r="D6" s="2">
        <f>INDEX(Dataset!$G$2:$W$40,MATCH(Task_2!$A6,Dataset!$A$2:$A$40,0),MATCH(Task_2!D$5,Dataset!$G$1:$W$1,0))</f>
        <v>4.2</v>
      </c>
      <c r="E6" s="2">
        <f>INDEX(Dataset!$G$2:$W$40,MATCH(Task_2!$A6,Dataset!$A$2:$A$40,0),MATCH(Task_2!E$5,Dataset!$G$1:$W$1,0))</f>
        <v>8.9</v>
      </c>
      <c r="F6" s="2">
        <f>INDEX(Dataset!$G$2:$W$40,MATCH(Task_2!$A6,Dataset!$A$2:$A$40,0),MATCH(Task_2!F$5,Dataset!$G$1:$W$1,0))</f>
        <v>4.2</v>
      </c>
    </row>
    <row r="7" spans="1:7" ht="14.4" x14ac:dyDescent="0.3">
      <c r="A7" s="7" t="s">
        <v>4</v>
      </c>
      <c r="B7" s="2">
        <f>INDEX(Dataset!$G$2:$W$40,MATCH(Task_2!$A7,Dataset!$A$2:$A$40,0),MATCH(Task_2!B$5,Dataset!$G$1:$W$1,0))</f>
        <v>2.7</v>
      </c>
      <c r="C7" s="2">
        <f>INDEX(Dataset!$G$2:$W$40,MATCH(Task_2!$A7,Dataset!$A$2:$A$40,0),MATCH(Task_2!C$5,Dataset!$G$1:$W$1,0))</f>
        <v>7.6</v>
      </c>
      <c r="D7" s="2">
        <f>INDEX(Dataset!$G$2:$W$40,MATCH(Task_2!$A7,Dataset!$A$2:$A$40,0),MATCH(Task_2!D$5,Dataset!$G$1:$W$1,0))</f>
        <v>4.2</v>
      </c>
      <c r="E7" s="2">
        <f>INDEX(Dataset!$G$2:$W$40,MATCH(Task_2!$A7,Dataset!$A$2:$A$40,0),MATCH(Task_2!E$5,Dataset!$G$1:$W$1,0))</f>
        <v>8.9</v>
      </c>
      <c r="F7" s="2">
        <f>INDEX(Dataset!$G$2:$W$40,MATCH(Task_2!$A7,Dataset!$A$2:$A$40,0),MATCH(Task_2!F$5,Dataset!$G$1:$W$1,0))</f>
        <v>4.2</v>
      </c>
    </row>
    <row r="8" spans="1:7" ht="14.4" x14ac:dyDescent="0.3">
      <c r="A8" s="7" t="s">
        <v>7</v>
      </c>
      <c r="B8" s="2">
        <f>INDEX(Dataset!$G$2:$W$40,MATCH(Task_2!$A8,Dataset!$A$2:$A$40,0),MATCH(Task_2!B$5,Dataset!$G$1:$W$1,0))</f>
        <v>3.6</v>
      </c>
      <c r="C8" s="2">
        <f>INDEX(Dataset!$G$2:$W$40,MATCH(Task_2!$A8,Dataset!$A$2:$A$40,0),MATCH(Task_2!C$5,Dataset!$G$1:$W$1,0))</f>
        <v>11.1</v>
      </c>
      <c r="D8" s="2">
        <f>INDEX(Dataset!$G$2:$W$40,MATCH(Task_2!$A8,Dataset!$A$2:$A$40,0),MATCH(Task_2!D$5,Dataset!$G$1:$W$1,0))</f>
        <v>5.8</v>
      </c>
      <c r="E8" s="2">
        <f>INDEX(Dataset!$G$2:$W$40,MATCH(Task_2!$A8,Dataset!$A$2:$A$40,0),MATCH(Task_2!E$5,Dataset!$G$1:$W$1,0))</f>
        <v>12.2</v>
      </c>
      <c r="F8" s="2">
        <f>INDEX(Dataset!$G$2:$W$40,MATCH(Task_2!$A8,Dataset!$A$2:$A$40,0),MATCH(Task_2!F$5,Dataset!$G$1:$W$1,0))</f>
        <v>5.8</v>
      </c>
    </row>
    <row r="9" spans="1:7" ht="14.4" x14ac:dyDescent="0.3">
      <c r="A9" s="7" t="s">
        <v>8</v>
      </c>
      <c r="B9" s="2">
        <f>INDEX(Dataset!$G$2:$W$40,MATCH(Task_2!$A9,Dataset!$A$2:$A$40,0),MATCH(Task_2!B$5,Dataset!$G$1:$W$1,0))</f>
        <v>4.9000000000000004</v>
      </c>
      <c r="C9" s="2">
        <f>INDEX(Dataset!$G$2:$W$40,MATCH(Task_2!$A9,Dataset!$A$2:$A$40,0),MATCH(Task_2!C$5,Dataset!$G$1:$W$1,0))</f>
        <v>13.3</v>
      </c>
      <c r="D9" s="2">
        <f>INDEX(Dataset!$G$2:$W$40,MATCH(Task_2!$A9,Dataset!$A$2:$A$40,0),MATCH(Task_2!D$5,Dataset!$G$1:$W$1,0))</f>
        <v>8.1</v>
      </c>
      <c r="E9" s="2">
        <f>INDEX(Dataset!$G$2:$W$40,MATCH(Task_2!$A9,Dataset!$A$2:$A$40,0),MATCH(Task_2!E$5,Dataset!$G$1:$W$1,0))</f>
        <v>17</v>
      </c>
      <c r="F9" s="2">
        <f>INDEX(Dataset!$G$2:$W$40,MATCH(Task_2!$A9,Dataset!$A$2:$A$40,0),MATCH(Task_2!F$5,Dataset!$G$1:$W$1,0))</f>
        <v>8.1</v>
      </c>
    </row>
    <row r="10" spans="1:7" ht="14.4" x14ac:dyDescent="0.3">
      <c r="A10" s="7" t="s">
        <v>11</v>
      </c>
      <c r="B10" s="2">
        <f>INDEX(Dataset!$G$2:$W$40,MATCH(Task_2!$A10,Dataset!$A$2:$A$40,0),MATCH(Task_2!B$5,Dataset!$G$1:$W$1,0))</f>
        <v>9.4</v>
      </c>
      <c r="C10" s="2">
        <f>INDEX(Dataset!$G$2:$W$40,MATCH(Task_2!$A10,Dataset!$A$2:$A$40,0),MATCH(Task_2!C$5,Dataset!$G$1:$W$1,0))</f>
        <v>28.3</v>
      </c>
      <c r="D10" s="2">
        <f>INDEX(Dataset!$G$2:$W$40,MATCH(Task_2!$A10,Dataset!$A$2:$A$40,0),MATCH(Task_2!D$5,Dataset!$G$1:$W$1,0))</f>
        <v>16.100000000000001</v>
      </c>
      <c r="E10" s="2">
        <f>INDEX(Dataset!$G$2:$W$40,MATCH(Task_2!$A10,Dataset!$A$2:$A$40,0),MATCH(Task_2!E$5,Dataset!$G$1:$W$1,0))</f>
        <v>32.799999999999997</v>
      </c>
      <c r="F10" s="2">
        <f>INDEX(Dataset!$G$2:$W$40,MATCH(Task_2!$A10,Dataset!$A$2:$A$40,0),MATCH(Task_2!F$5,Dataset!$G$1:$W$1,0))</f>
        <v>16.100000000000001</v>
      </c>
    </row>
    <row r="11" spans="1:7" ht="14.4" x14ac:dyDescent="0.3">
      <c r="A11" s="7" t="s">
        <v>12</v>
      </c>
      <c r="B11" s="2">
        <f>INDEX(Dataset!$G$2:$W$40,MATCH(Task_2!$A11,Dataset!$A$2:$A$40,0),MATCH(Task_2!B$5,Dataset!$G$1:$W$1,0))</f>
        <v>11.6</v>
      </c>
      <c r="C11" s="2">
        <f>INDEX(Dataset!$G$2:$W$40,MATCH(Task_2!$A11,Dataset!$A$2:$A$40,0),MATCH(Task_2!C$5,Dataset!$G$1:$W$1,0))</f>
        <v>35.200000000000003</v>
      </c>
      <c r="D11" s="2">
        <f>INDEX(Dataset!$G$2:$W$40,MATCH(Task_2!$A11,Dataset!$A$2:$A$40,0),MATCH(Task_2!D$5,Dataset!$G$1:$W$1,0))</f>
        <v>21.3</v>
      </c>
      <c r="E11" s="2">
        <f>INDEX(Dataset!$G$2:$W$40,MATCH(Task_2!$A11,Dataset!$A$2:$A$40,0),MATCH(Task_2!E$5,Dataset!$G$1:$W$1,0))</f>
        <v>43</v>
      </c>
      <c r="F11" s="2">
        <f>INDEX(Dataset!$G$2:$W$40,MATCH(Task_2!$A11,Dataset!$A$2:$A$40,0),MATCH(Task_2!F$5,Dataset!$G$1:$W$1,0))</f>
        <v>21.3</v>
      </c>
    </row>
    <row r="12" spans="1:7" ht="14.4" x14ac:dyDescent="0.3">
      <c r="A12" s="7" t="s">
        <v>14</v>
      </c>
      <c r="B12" s="2">
        <f>INDEX(Dataset!$G$2:$W$40,MATCH(Task_2!$A12,Dataset!$A$2:$A$40,0),MATCH(Task_2!B$5,Dataset!$G$1:$W$1,0))</f>
        <v>18.399999999999999</v>
      </c>
      <c r="C12" s="2">
        <f>INDEX(Dataset!$G$2:$W$40,MATCH(Task_2!$A12,Dataset!$A$2:$A$40,0),MATCH(Task_2!C$5,Dataset!$G$1:$W$1,0))</f>
        <v>55.6</v>
      </c>
      <c r="D12" s="2">
        <f>INDEX(Dataset!$G$2:$W$40,MATCH(Task_2!$A12,Dataset!$A$2:$A$40,0),MATCH(Task_2!D$5,Dataset!$G$1:$W$1,0))</f>
        <v>33.799999999999997</v>
      </c>
      <c r="E12" s="2">
        <f>INDEX(Dataset!$G$2:$W$40,MATCH(Task_2!$A12,Dataset!$A$2:$A$40,0),MATCH(Task_2!E$5,Dataset!$G$1:$W$1,0))</f>
        <v>67.900000000000006</v>
      </c>
      <c r="F12" s="2">
        <f>INDEX(Dataset!$G$2:$W$40,MATCH(Task_2!$A12,Dataset!$A$2:$A$40,0),MATCH(Task_2!F$5,Dataset!$G$1:$W$1,0))</f>
        <v>33.799999999999997</v>
      </c>
    </row>
    <row r="13" spans="1:7" ht="14.4" x14ac:dyDescent="0.3">
      <c r="A13" s="7" t="s">
        <v>15</v>
      </c>
      <c r="B13" s="2">
        <f>INDEX(Dataset!$G$2:$W$40,MATCH(Task_2!$A13,Dataset!$A$2:$A$40,0),MATCH(Task_2!B$5,Dataset!$G$1:$W$1,0))</f>
        <v>0</v>
      </c>
      <c r="C13" s="2">
        <f>INDEX(Dataset!$G$2:$W$40,MATCH(Task_2!$A13,Dataset!$A$2:$A$40,0),MATCH(Task_2!C$5,Dataset!$G$1:$W$1,0))</f>
        <v>0</v>
      </c>
      <c r="D13" s="2">
        <f>INDEX(Dataset!$G$2:$W$40,MATCH(Task_2!$A13,Dataset!$A$2:$A$40,0),MATCH(Task_2!D$5,Dataset!$G$1:$W$1,0))</f>
        <v>0</v>
      </c>
      <c r="E13" s="2">
        <f>INDEX(Dataset!$G$2:$W$40,MATCH(Task_2!$A13,Dataset!$A$2:$A$40,0),MATCH(Task_2!E$5,Dataset!$G$1:$W$1,0))</f>
        <v>0</v>
      </c>
      <c r="F13" s="2">
        <f>INDEX(Dataset!$G$2:$W$40,MATCH(Task_2!$A13,Dataset!$A$2:$A$40,0),MATCH(Task_2!F$5,Dataset!$G$1:$W$1,0))</f>
        <v>0</v>
      </c>
    </row>
    <row r="14" spans="1:7" ht="14.4" x14ac:dyDescent="0.3">
      <c r="A14" s="7" t="s">
        <v>16</v>
      </c>
      <c r="B14" s="2">
        <f>INDEX(Dataset!$G$2:$W$40,MATCH(Task_2!$A14,Dataset!$A$2:$A$40,0),MATCH(Task_2!B$5,Dataset!$G$1:$W$1,0))</f>
        <v>21.9</v>
      </c>
      <c r="C14" s="2">
        <f>INDEX(Dataset!$G$2:$W$40,MATCH(Task_2!$A14,Dataset!$A$2:$A$40,0),MATCH(Task_2!C$5,Dataset!$G$1:$W$1,0))</f>
        <v>61.5</v>
      </c>
      <c r="D14" s="2">
        <f>INDEX(Dataset!$G$2:$W$40,MATCH(Task_2!$A14,Dataset!$A$2:$A$40,0),MATCH(Task_2!D$5,Dataset!$G$1:$W$1,0))</f>
        <v>40.1</v>
      </c>
      <c r="E14" s="2">
        <f>INDEX(Dataset!$G$2:$W$40,MATCH(Task_2!$A14,Dataset!$A$2:$A$40,0),MATCH(Task_2!E$5,Dataset!$G$1:$W$1,0))</f>
        <v>76.599999999999994</v>
      </c>
      <c r="F14" s="2">
        <f>INDEX(Dataset!$G$2:$W$40,MATCH(Task_2!$A14,Dataset!$A$2:$A$40,0),MATCH(Task_2!F$5,Dataset!$G$1:$W$1,0))</f>
        <v>40.1</v>
      </c>
    </row>
    <row r="15" spans="1:7" ht="14.4" x14ac:dyDescent="0.3">
      <c r="A15" s="7" t="s">
        <v>18</v>
      </c>
      <c r="B15" s="2">
        <f>INDEX(Dataset!$G$2:$W$40,MATCH(Task_2!$A15,Dataset!$A$2:$A$40,0),MATCH(Task_2!B$5,Dataset!$G$1:$W$1,0))</f>
        <v>26.8</v>
      </c>
      <c r="C15" s="2">
        <f>INDEX(Dataset!$G$2:$W$40,MATCH(Task_2!$A15,Dataset!$A$2:$A$40,0),MATCH(Task_2!C$5,Dataset!$G$1:$W$1,0))</f>
        <v>79.599999999999994</v>
      </c>
      <c r="D15" s="2">
        <f>INDEX(Dataset!$G$2:$W$40,MATCH(Task_2!$A15,Dataset!$A$2:$A$40,0),MATCH(Task_2!D$5,Dataset!$G$1:$W$1,0))</f>
        <v>47.9</v>
      </c>
      <c r="E15" s="2">
        <f>INDEX(Dataset!$G$2:$W$40,MATCH(Task_2!$A15,Dataset!$A$2:$A$40,0),MATCH(Task_2!E$5,Dataset!$G$1:$W$1,0))</f>
        <v>96.8</v>
      </c>
      <c r="F15" s="2">
        <f>INDEX(Dataset!$G$2:$W$40,MATCH(Task_2!$A15,Dataset!$A$2:$A$40,0),MATCH(Task_2!F$5,Dataset!$G$1:$W$1,0))</f>
        <v>47.9</v>
      </c>
    </row>
    <row r="16" spans="1:7" ht="14.4" x14ac:dyDescent="0.3">
      <c r="A16" s="7" t="s">
        <v>20</v>
      </c>
      <c r="B16" s="2">
        <f>INDEX(Dataset!$G$2:$W$40,MATCH(Task_2!$A16,Dataset!$A$2:$A$40,0),MATCH(Task_2!B$5,Dataset!$G$1:$W$1,0))</f>
        <v>28.5</v>
      </c>
      <c r="C16" s="2">
        <f>INDEX(Dataset!$G$2:$W$40,MATCH(Task_2!$A16,Dataset!$A$2:$A$40,0),MATCH(Task_2!C$5,Dataset!$G$1:$W$1,0))</f>
        <v>85.4</v>
      </c>
      <c r="D16" s="2">
        <f>INDEX(Dataset!$G$2:$W$40,MATCH(Task_2!$A16,Dataset!$A$2:$A$40,0),MATCH(Task_2!D$5,Dataset!$G$1:$W$1,0))</f>
        <v>52.3</v>
      </c>
      <c r="E16" s="2">
        <f>INDEX(Dataset!$G$2:$W$40,MATCH(Task_2!$A16,Dataset!$A$2:$A$40,0),MATCH(Task_2!E$5,Dataset!$G$1:$W$1,0))</f>
        <v>106.1</v>
      </c>
      <c r="F16" s="2">
        <f>INDEX(Dataset!$G$2:$W$40,MATCH(Task_2!$A16,Dataset!$A$2:$A$40,0),MATCH(Task_2!F$5,Dataset!$G$1:$W$1,0))</f>
        <v>52.3</v>
      </c>
    </row>
    <row r="17" spans="1:6" ht="14.4" x14ac:dyDescent="0.3">
      <c r="A17" s="7" t="s">
        <v>22</v>
      </c>
      <c r="B17" s="2">
        <f>INDEX(Dataset!$G$2:$W$40,MATCH(Task_2!$A17,Dataset!$A$2:$A$40,0),MATCH(Task_2!B$5,Dataset!$G$1:$W$1,0))</f>
        <v>30.7</v>
      </c>
      <c r="C17" s="2">
        <f>INDEX(Dataset!$G$2:$W$40,MATCH(Task_2!$A17,Dataset!$A$2:$A$40,0),MATCH(Task_2!C$5,Dataset!$G$1:$W$1,0))</f>
        <v>92.1</v>
      </c>
      <c r="D17" s="2">
        <f>INDEX(Dataset!$G$2:$W$40,MATCH(Task_2!$A17,Dataset!$A$2:$A$40,0),MATCH(Task_2!D$5,Dataset!$G$1:$W$1,0))</f>
        <v>57</v>
      </c>
      <c r="E17" s="2">
        <f>INDEX(Dataset!$G$2:$W$40,MATCH(Task_2!$A17,Dataset!$A$2:$A$40,0),MATCH(Task_2!E$5,Dataset!$G$1:$W$1,0))</f>
        <v>115.1</v>
      </c>
      <c r="F17" s="2">
        <f>INDEX(Dataset!$G$2:$W$40,MATCH(Task_2!$A17,Dataset!$A$2:$A$40,0),MATCH(Task_2!F$5,Dataset!$G$1:$W$1,0))</f>
        <v>57</v>
      </c>
    </row>
    <row r="18" spans="1:6" ht="14.4" x14ac:dyDescent="0.3">
      <c r="A18" s="7" t="s">
        <v>23</v>
      </c>
      <c r="B18" s="2">
        <f>INDEX(Dataset!$G$2:$W$40,MATCH(Task_2!$A18,Dataset!$A$2:$A$40,0),MATCH(Task_2!B$5,Dataset!$G$1:$W$1,0))</f>
        <v>33.799999999999997</v>
      </c>
      <c r="C18" s="2">
        <f>INDEX(Dataset!$G$2:$W$40,MATCH(Task_2!$A18,Dataset!$A$2:$A$40,0),MATCH(Task_2!C$5,Dataset!$G$1:$W$1,0))</f>
        <v>101.3</v>
      </c>
      <c r="D18" s="2">
        <f>INDEX(Dataset!$G$2:$W$40,MATCH(Task_2!$A18,Dataset!$A$2:$A$40,0),MATCH(Task_2!D$5,Dataset!$G$1:$W$1,0))</f>
        <v>61.4</v>
      </c>
      <c r="E18" s="2">
        <f>INDEX(Dataset!$G$2:$W$40,MATCH(Task_2!$A18,Dataset!$A$2:$A$40,0),MATCH(Task_2!E$5,Dataset!$G$1:$W$1,0))</f>
        <v>124.4</v>
      </c>
      <c r="F18" s="2">
        <f>INDEX(Dataset!$G$2:$W$40,MATCH(Task_2!$A18,Dataset!$A$2:$A$40,0),MATCH(Task_2!F$5,Dataset!$G$1:$W$1,0))</f>
        <v>61.4</v>
      </c>
    </row>
    <row r="19" spans="1:6" ht="14.4" x14ac:dyDescent="0.3">
      <c r="A19" s="7" t="s">
        <v>24</v>
      </c>
      <c r="B19" s="2">
        <f>INDEX(Dataset!$G$2:$W$40,MATCH(Task_2!$A19,Dataset!$A$2:$A$40,0),MATCH(Task_2!B$5,Dataset!$G$1:$W$1,0))</f>
        <v>34.700000000000003</v>
      </c>
      <c r="C19" s="2">
        <f>INDEX(Dataset!$G$2:$W$40,MATCH(Task_2!$A19,Dataset!$A$2:$A$40,0),MATCH(Task_2!C$5,Dataset!$G$1:$W$1,0))</f>
        <v>106.1</v>
      </c>
      <c r="D19" s="2">
        <f>INDEX(Dataset!$G$2:$W$40,MATCH(Task_2!$A19,Dataset!$A$2:$A$40,0),MATCH(Task_2!D$5,Dataset!$G$1:$W$1,0))</f>
        <v>63.6</v>
      </c>
      <c r="E19" s="2">
        <f>INDEX(Dataset!$G$2:$W$40,MATCH(Task_2!$A19,Dataset!$A$2:$A$40,0),MATCH(Task_2!E$5,Dataset!$G$1:$W$1,0))</f>
        <v>128.6</v>
      </c>
      <c r="F19" s="2">
        <f>INDEX(Dataset!$G$2:$W$40,MATCH(Task_2!$A19,Dataset!$A$2:$A$40,0),MATCH(Task_2!F$5,Dataset!$G$1:$W$1,0))</f>
        <v>63.6</v>
      </c>
    </row>
    <row r="20" spans="1:6" ht="14.4" x14ac:dyDescent="0.3">
      <c r="A20" s="7" t="s">
        <v>28</v>
      </c>
      <c r="B20" s="2">
        <f>INDEX(Dataset!$G$2:$W$40,MATCH(Task_2!$A20,Dataset!$A$2:$A$40,0),MATCH(Task_2!B$5,Dataset!$G$1:$W$1,0))</f>
        <v>0</v>
      </c>
      <c r="C20" s="2">
        <f>INDEX(Dataset!$G$2:$W$40,MATCH(Task_2!$A20,Dataset!$A$2:$A$40,0),MATCH(Task_2!C$5,Dataset!$G$1:$W$1,0))</f>
        <v>0</v>
      </c>
      <c r="D20" s="2">
        <f>INDEX(Dataset!$G$2:$W$40,MATCH(Task_2!$A20,Dataset!$A$2:$A$40,0),MATCH(Task_2!D$5,Dataset!$G$1:$W$1,0))</f>
        <v>0</v>
      </c>
      <c r="E20" s="2">
        <f>INDEX(Dataset!$G$2:$W$40,MATCH(Task_2!$A20,Dataset!$A$2:$A$40,0),MATCH(Task_2!E$5,Dataset!$G$1:$W$1,0))</f>
        <v>0</v>
      </c>
      <c r="F20" s="2">
        <f>INDEX(Dataset!$G$2:$W$40,MATCH(Task_2!$A20,Dataset!$A$2:$A$40,0),MATCH(Task_2!F$5,Dataset!$G$1:$W$1,0))</f>
        <v>0</v>
      </c>
    </row>
    <row r="21" spans="1:6" ht="14.4" x14ac:dyDescent="0.3">
      <c r="A21" s="7" t="s">
        <v>57</v>
      </c>
      <c r="B21" s="2">
        <f>INDEX(Dataset!$G$2:$W$40,MATCH(Task_2!$A21,Dataset!$A$2:$A$40,0),MATCH(Task_2!B$5,Dataset!$G$1:$W$1,0))</f>
        <v>41.3</v>
      </c>
      <c r="C21" s="2">
        <f>INDEX(Dataset!$G$2:$W$40,MATCH(Task_2!$A21,Dataset!$A$2:$A$40,0),MATCH(Task_2!C$5,Dataset!$G$1:$W$1,0))</f>
        <v>124.4</v>
      </c>
      <c r="D21" s="2">
        <f>INDEX(Dataset!$G$2:$W$40,MATCH(Task_2!$A21,Dataset!$A$2:$A$40,0),MATCH(Task_2!D$5,Dataset!$G$1:$W$1,0))</f>
        <v>75</v>
      </c>
      <c r="E21" s="2">
        <f>INDEX(Dataset!$G$2:$W$40,MATCH(Task_2!$A21,Dataset!$A$2:$A$40,0),MATCH(Task_2!E$5,Dataset!$G$1:$W$1,0))</f>
        <v>151.5</v>
      </c>
      <c r="F21" s="2">
        <f>INDEX(Dataset!$G$2:$W$40,MATCH(Task_2!$A21,Dataset!$A$2:$A$40,0),MATCH(Task_2!F$5,Dataset!$G$1:$W$1,0))</f>
        <v>75</v>
      </c>
    </row>
    <row r="22" spans="1:6" ht="14.4" x14ac:dyDescent="0.3">
      <c r="A22" s="7" t="s">
        <v>58</v>
      </c>
      <c r="B22" s="2">
        <f>INDEX(Dataset!$G$2:$W$40,MATCH(Task_2!$A22,Dataset!$A$2:$A$40,0),MATCH(Task_2!B$5,Dataset!$G$1:$W$1,0))</f>
        <v>-1</v>
      </c>
      <c r="C22" s="2">
        <f>INDEX(Dataset!$G$2:$W$40,MATCH(Task_2!$A22,Dataset!$A$2:$A$40,0),MATCH(Task_2!C$5,Dataset!$G$1:$W$1,0))</f>
        <v>-1</v>
      </c>
      <c r="D22" s="2">
        <f>INDEX(Dataset!$G$2:$W$40,MATCH(Task_2!$A22,Dataset!$A$2:$A$40,0),MATCH(Task_2!D$5,Dataset!$G$1:$W$1,0))</f>
        <v>-1</v>
      </c>
      <c r="E22" s="2">
        <f>INDEX(Dataset!$G$2:$W$40,MATCH(Task_2!$A22,Dataset!$A$2:$A$40,0),MATCH(Task_2!E$5,Dataset!$G$1:$W$1,0))</f>
        <v>-1</v>
      </c>
      <c r="F22" s="2">
        <f>INDEX(Dataset!$G$2:$W$40,MATCH(Task_2!$A22,Dataset!$A$2:$A$40,0),MATCH(Task_2!F$5,Dataset!$G$1:$W$1,0))</f>
        <v>-1</v>
      </c>
    </row>
    <row r="23" spans="1:6" ht="14.4" x14ac:dyDescent="0.3">
      <c r="A23" s="7" t="s">
        <v>31</v>
      </c>
      <c r="B23" s="2">
        <f>INDEX(Dataset!$G$2:$W$40,MATCH(Task_2!$A23,Dataset!$A$2:$A$40,0),MATCH(Task_2!B$5,Dataset!$G$1:$W$1,0))</f>
        <v>45</v>
      </c>
      <c r="C23" s="2">
        <f>INDEX(Dataset!$G$2:$W$40,MATCH(Task_2!$A23,Dataset!$A$2:$A$40,0),MATCH(Task_2!C$5,Dataset!$G$1:$W$1,0))</f>
        <v>133.4</v>
      </c>
      <c r="D23" s="2">
        <f>INDEX(Dataset!$G$2:$W$40,MATCH(Task_2!$A23,Dataset!$A$2:$A$40,0),MATCH(Task_2!D$5,Dataset!$G$1:$W$1,0))</f>
        <v>79.400000000000006</v>
      </c>
      <c r="E23" s="2">
        <f>INDEX(Dataset!$G$2:$W$40,MATCH(Task_2!$A23,Dataset!$A$2:$A$40,0),MATCH(Task_2!E$5,Dataset!$G$1:$W$1,0))</f>
        <v>160.9</v>
      </c>
      <c r="F23" s="2">
        <f>INDEX(Dataset!$G$2:$W$40,MATCH(Task_2!$A23,Dataset!$A$2:$A$40,0),MATCH(Task_2!F$5,Dataset!$G$1:$W$1,0))</f>
        <v>79.400000000000006</v>
      </c>
    </row>
    <row r="24" spans="1:6" ht="14.4" x14ac:dyDescent="0.3">
      <c r="A24" s="7" t="s">
        <v>32</v>
      </c>
      <c r="B24" s="2">
        <f>INDEX(Dataset!$G$2:$W$40,MATCH(Task_2!$A24,Dataset!$A$2:$A$40,0),MATCH(Task_2!B$5,Dataset!$G$1:$W$1,0))</f>
        <v>-1</v>
      </c>
      <c r="C24" s="2">
        <f>INDEX(Dataset!$G$2:$W$40,MATCH(Task_2!$A24,Dataset!$A$2:$A$40,0),MATCH(Task_2!C$5,Dataset!$G$1:$W$1,0))</f>
        <v>-1</v>
      </c>
      <c r="D24" s="2">
        <f>INDEX(Dataset!$G$2:$W$40,MATCH(Task_2!$A24,Dataset!$A$2:$A$40,0),MATCH(Task_2!D$5,Dataset!$G$1:$W$1,0))</f>
        <v>-1</v>
      </c>
      <c r="E24" s="2">
        <f>INDEX(Dataset!$G$2:$W$40,MATCH(Task_2!$A24,Dataset!$A$2:$A$40,0),MATCH(Task_2!E$5,Dataset!$G$1:$W$1,0))</f>
        <v>-1</v>
      </c>
      <c r="F24" s="2">
        <f>INDEX(Dataset!$G$2:$W$40,MATCH(Task_2!$A24,Dataset!$A$2:$A$40,0),MATCH(Task_2!F$5,Dataset!$G$1:$W$1,0))</f>
        <v>-1</v>
      </c>
    </row>
    <row r="25" spans="1:6" ht="14.4" x14ac:dyDescent="0.3">
      <c r="A25" s="7" t="s">
        <v>34</v>
      </c>
      <c r="B25" s="2">
        <f>INDEX(Dataset!$G$2:$W$40,MATCH(Task_2!$A25,Dataset!$A$2:$A$40,0),MATCH(Task_2!B$5,Dataset!$G$1:$W$1,0))</f>
        <v>43.3</v>
      </c>
      <c r="C25" s="2">
        <f>INDEX(Dataset!$G$2:$W$40,MATCH(Task_2!$A25,Dataset!$A$2:$A$40,0),MATCH(Task_2!C$5,Dataset!$G$1:$W$1,0))</f>
        <v>128.6</v>
      </c>
      <c r="D25" s="2">
        <f>INDEX(Dataset!$G$2:$W$40,MATCH(Task_2!$A25,Dataset!$A$2:$A$40,0),MATCH(Task_2!D$5,Dataset!$G$1:$W$1,0))</f>
        <v>79.400000000000006</v>
      </c>
      <c r="E25" s="2">
        <f>INDEX(Dataset!$G$2:$W$40,MATCH(Task_2!$A25,Dataset!$A$2:$A$40,0),MATCH(Task_2!E$5,Dataset!$G$1:$W$1,0))</f>
        <v>160.9</v>
      </c>
      <c r="F25" s="2">
        <f>INDEX(Dataset!$G$2:$W$40,MATCH(Task_2!$A25,Dataset!$A$2:$A$40,0),MATCH(Task_2!F$5,Dataset!$G$1:$W$1,0))</f>
        <v>79.400000000000006</v>
      </c>
    </row>
    <row r="26" spans="1:6" ht="14.4" x14ac:dyDescent="0.3">
      <c r="A26" s="7" t="s">
        <v>37</v>
      </c>
      <c r="B26" s="2">
        <f>INDEX(Dataset!$G$2:$W$40,MATCH(Task_2!$A26,Dataset!$A$2:$A$40,0),MATCH(Task_2!B$5,Dataset!$G$1:$W$1,0))</f>
        <v>49.1</v>
      </c>
      <c r="C26" s="2">
        <f>INDEX(Dataset!$G$2:$W$40,MATCH(Task_2!$A26,Dataset!$A$2:$A$40,0),MATCH(Task_2!C$5,Dataset!$G$1:$W$1,0))</f>
        <v>146.80000000000001</v>
      </c>
      <c r="D26" s="2">
        <f>INDEX(Dataset!$G$2:$W$40,MATCH(Task_2!$A26,Dataset!$A$2:$A$40,0),MATCH(Task_2!D$5,Dataset!$G$1:$W$1,0))</f>
        <v>90.9</v>
      </c>
      <c r="E26" s="2">
        <f>INDEX(Dataset!$G$2:$W$40,MATCH(Task_2!$A26,Dataset!$A$2:$A$40,0),MATCH(Task_2!E$5,Dataset!$G$1:$W$1,0))</f>
        <v>183.5</v>
      </c>
      <c r="F26" s="2">
        <f>INDEX(Dataset!$G$2:$W$40,MATCH(Task_2!$A26,Dataset!$A$2:$A$40,0),MATCH(Task_2!F$5,Dataset!$G$1:$W$1,0))</f>
        <v>90.9</v>
      </c>
    </row>
    <row r="27" spans="1:6" ht="14.4" x14ac:dyDescent="0.3">
      <c r="A27" s="7" t="s">
        <v>39</v>
      </c>
      <c r="B27" s="2">
        <f>INDEX(Dataset!$G$2:$W$40,MATCH(Task_2!$A27,Dataset!$A$2:$A$40,0),MATCH(Task_2!B$5,Dataset!$G$1:$W$1,0))</f>
        <v>51.8</v>
      </c>
      <c r="C27" s="2">
        <f>INDEX(Dataset!$G$2:$W$40,MATCH(Task_2!$A27,Dataset!$A$2:$A$40,0),MATCH(Task_2!C$5,Dataset!$G$1:$W$1,0))</f>
        <v>156.4</v>
      </c>
      <c r="D27" s="2">
        <f>INDEX(Dataset!$G$2:$W$40,MATCH(Task_2!$A27,Dataset!$A$2:$A$40,0),MATCH(Task_2!D$5,Dataset!$G$1:$W$1,0))</f>
        <v>93.1</v>
      </c>
      <c r="E27" s="2">
        <f>INDEX(Dataset!$G$2:$W$40,MATCH(Task_2!$A27,Dataset!$A$2:$A$40,0),MATCH(Task_2!E$5,Dataset!$G$1:$W$1,0))</f>
        <v>188.1</v>
      </c>
      <c r="F27" s="2">
        <f>INDEX(Dataset!$G$2:$W$40,MATCH(Task_2!$A27,Dataset!$A$2:$A$40,0),MATCH(Task_2!F$5,Dataset!$G$1:$W$1,0))</f>
        <v>93.1</v>
      </c>
    </row>
    <row r="28" spans="1:6" ht="14.4" x14ac:dyDescent="0.3">
      <c r="A28" s="18" t="s">
        <v>82</v>
      </c>
      <c r="B28" s="30">
        <f>MIN(B6:B27)</f>
        <v>-1</v>
      </c>
      <c r="C28" s="30">
        <f t="shared" ref="C28:D28" si="0">MIN(C6:C27)</f>
        <v>-1</v>
      </c>
      <c r="D28" s="30">
        <f t="shared" si="0"/>
        <v>-1</v>
      </c>
      <c r="E28" s="30">
        <f t="shared" ref="E28" si="1">MIN(E6:E27)</f>
        <v>-1</v>
      </c>
      <c r="F28" s="30">
        <f t="shared" ref="F28" si="2">MIN(F6:F27)</f>
        <v>-1</v>
      </c>
    </row>
    <row r="29" spans="1:6" ht="14.4" x14ac:dyDescent="0.3">
      <c r="A29" s="18" t="s">
        <v>83</v>
      </c>
      <c r="B29" s="30">
        <f>MAX(B6:B27)</f>
        <v>51.8</v>
      </c>
      <c r="C29" s="30">
        <f t="shared" ref="C29:F29" si="3">MAX(C6:C27)</f>
        <v>156.4</v>
      </c>
      <c r="D29" s="30">
        <f t="shared" si="3"/>
        <v>93.1</v>
      </c>
      <c r="E29" s="30">
        <f t="shared" si="3"/>
        <v>188.1</v>
      </c>
      <c r="F29" s="30">
        <f t="shared" si="3"/>
        <v>93.1</v>
      </c>
    </row>
    <row r="30" spans="1:6" ht="14.4" x14ac:dyDescent="0.3">
      <c r="A30" s="18" t="s">
        <v>84</v>
      </c>
      <c r="B30" s="30">
        <f>AVERAGE(B6:B27)</f>
        <v>20.827272727272728</v>
      </c>
      <c r="C30" s="30">
        <f t="shared" ref="C30:F30" si="4">AVERAGE(C6:C27)</f>
        <v>62.377272727272725</v>
      </c>
      <c r="D30" s="30">
        <f t="shared" si="4"/>
        <v>37.800000000000004</v>
      </c>
      <c r="E30" s="30">
        <f t="shared" si="4"/>
        <v>76.418181818181822</v>
      </c>
      <c r="F30" s="30">
        <f t="shared" si="4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B7" sqref="B7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0" customFormat="1" ht="21" x14ac:dyDescent="0.4">
      <c r="A1" s="41" t="s">
        <v>56</v>
      </c>
      <c r="B1" s="40" t="s">
        <v>173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150</v>
      </c>
    </row>
    <row r="5" spans="1:10" ht="18" x14ac:dyDescent="0.35">
      <c r="A5" s="42" t="s">
        <v>53</v>
      </c>
      <c r="B5" s="39" t="s">
        <v>182</v>
      </c>
    </row>
    <row r="6" spans="1:10" ht="18" x14ac:dyDescent="0.35">
      <c r="A6" s="42" t="s">
        <v>152</v>
      </c>
      <c r="B6" s="39" t="s">
        <v>183</v>
      </c>
    </row>
    <row r="7" spans="1:10" ht="18" x14ac:dyDescent="0.35">
      <c r="A7" s="42"/>
      <c r="B7" s="39"/>
    </row>
    <row r="9" spans="1:10" ht="23.4" x14ac:dyDescent="0.45">
      <c r="A9" s="17" t="s">
        <v>164</v>
      </c>
      <c r="I9" s="2"/>
      <c r="J9" s="2"/>
    </row>
    <row r="10" spans="1:10" x14ac:dyDescent="0.3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">
      <c r="A11" s="8" t="s">
        <v>120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7" t="s">
        <v>161</v>
      </c>
    </row>
    <row r="15" spans="1:10" x14ac:dyDescent="0.3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">
      <c r="A16" s="7" t="s">
        <v>120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3">
      <c r="A17" s="7" t="s">
        <v>121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3">
      <c r="A18" s="7" t="s">
        <v>122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3">
      <c r="A19" s="7" t="s">
        <v>123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3">
      <c r="A20" s="7" t="s">
        <v>124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3">
      <c r="A21" s="7" t="s">
        <v>125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3">
      <c r="A22" s="7" t="s">
        <v>126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3">
      <c r="A23" s="7" t="s">
        <v>127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3">
      <c r="A24" s="7" t="s">
        <v>128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3">
      <c r="A25" s="7" t="s">
        <v>129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3">
      <c r="A26" s="7" t="s">
        <v>130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3">
      <c r="A27" s="7" t="s">
        <v>131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3">
      <c r="A28" s="7" t="s">
        <v>132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3">
      <c r="A29" s="7" t="s">
        <v>133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3">
      <c r="A30" s="7" t="s">
        <v>134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3">
      <c r="A31" s="7" t="s">
        <v>135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3">
      <c r="A32" s="7" t="s">
        <v>136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">
      <c r="A33" s="7" t="s">
        <v>137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">
      <c r="A34" s="7" t="s">
        <v>138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">
      <c r="A35" s="7" t="s">
        <v>139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">
      <c r="A36" s="7" t="s">
        <v>140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">
      <c r="A37" s="7" t="s">
        <v>141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">
      <c r="A38" s="7" t="s">
        <v>142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">
      <c r="A39" s="7" t="s">
        <v>143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">
      <c r="A40" s="7" t="s">
        <v>144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">
      <c r="A41" s="7" t="s">
        <v>145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">
      <c r="A42" s="7" t="s">
        <v>146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">
      <c r="A43" s="7" t="s">
        <v>147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">
      <c r="A44" s="7" t="s">
        <v>148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">
      <c r="A45" s="7" t="s">
        <v>149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">
      <c r="A46" s="7" t="s">
        <v>111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3">
      <c r="A47" s="7" t="s">
        <v>112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3">
      <c r="A48" s="7" t="s">
        <v>113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3">
      <c r="A49" s="7" t="s">
        <v>114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3">
      <c r="A50" s="7" t="s">
        <v>115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3">
      <c r="A51" s="7" t="s">
        <v>116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3">
      <c r="A52" s="7" t="s">
        <v>117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3">
      <c r="A53" s="7" t="s">
        <v>118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3">
      <c r="A54" s="8" t="s">
        <v>119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E18" sqref="E18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1" t="s">
        <v>85</v>
      </c>
      <c r="B1" s="40" t="s">
        <v>166</v>
      </c>
    </row>
    <row r="2" spans="1:3" ht="18" x14ac:dyDescent="0.35">
      <c r="B2" s="39" t="s">
        <v>165</v>
      </c>
    </row>
    <row r="5" spans="1:3" ht="14.4" x14ac:dyDescent="0.3">
      <c r="B5" s="1" t="s">
        <v>150</v>
      </c>
    </row>
    <row r="6" spans="1:3" ht="14.4" x14ac:dyDescent="0.3">
      <c r="A6" s="3" t="s">
        <v>53</v>
      </c>
      <c r="B6" s="1" t="s">
        <v>180</v>
      </c>
    </row>
    <row r="7" spans="1:3" ht="14.4" x14ac:dyDescent="0.3">
      <c r="A7" s="3" t="s">
        <v>152</v>
      </c>
      <c r="B7" s="45" t="s">
        <v>181</v>
      </c>
    </row>
    <row r="8" spans="1:3" x14ac:dyDescent="0.3">
      <c r="B8"/>
    </row>
    <row r="9" spans="1:3" x14ac:dyDescent="0.3">
      <c r="B9" s="44"/>
    </row>
    <row r="10" spans="1:3" ht="23.4" x14ac:dyDescent="0.45">
      <c r="A10" s="17" t="s">
        <v>161</v>
      </c>
    </row>
    <row r="11" spans="1:3" ht="14.4" x14ac:dyDescent="0.3">
      <c r="A11" s="31" t="s">
        <v>86</v>
      </c>
      <c r="B11" s="16" t="s">
        <v>87</v>
      </c>
      <c r="C11" s="16" t="s">
        <v>88</v>
      </c>
    </row>
    <row r="12" spans="1:3" ht="14.4" x14ac:dyDescent="0.3">
      <c r="A12" s="31">
        <v>44927</v>
      </c>
      <c r="B12" s="16" t="s">
        <v>59</v>
      </c>
      <c r="C12" s="16">
        <v>200</v>
      </c>
    </row>
    <row r="13" spans="1:3" ht="14.4" x14ac:dyDescent="0.3">
      <c r="A13" s="31">
        <v>44928</v>
      </c>
      <c r="B13" s="16" t="s">
        <v>60</v>
      </c>
      <c r="C13" s="16" t="e">
        <v>#N/A</v>
      </c>
    </row>
    <row r="14" spans="1:3" ht="14.4" x14ac:dyDescent="0.3">
      <c r="A14" s="31">
        <v>44929</v>
      </c>
      <c r="B14" s="16" t="s">
        <v>61</v>
      </c>
      <c r="C14" s="16">
        <v>50</v>
      </c>
    </row>
    <row r="15" spans="1:3" ht="14.4" x14ac:dyDescent="0.3">
      <c r="A15" s="31">
        <v>44930</v>
      </c>
      <c r="B15" s="16" t="s">
        <v>62</v>
      </c>
      <c r="C15" s="16" t="e">
        <v>#N/A</v>
      </c>
    </row>
    <row r="16" spans="1:3" ht="14.4" x14ac:dyDescent="0.3">
      <c r="A16" s="31">
        <v>44931</v>
      </c>
      <c r="B16" s="16" t="s">
        <v>63</v>
      </c>
      <c r="C16" s="16">
        <v>10</v>
      </c>
    </row>
    <row r="17" spans="1:3" ht="14.4" x14ac:dyDescent="0.3">
      <c r="A17" s="31">
        <v>44932</v>
      </c>
      <c r="B17" s="16" t="s">
        <v>153</v>
      </c>
      <c r="C17" s="16">
        <v>150</v>
      </c>
    </row>
    <row r="18" spans="1:3" ht="14.4" x14ac:dyDescent="0.3">
      <c r="A18" s="31">
        <v>44933</v>
      </c>
      <c r="B18" s="16" t="s">
        <v>154</v>
      </c>
      <c r="C18" s="16">
        <v>80</v>
      </c>
    </row>
    <row r="19" spans="1:3" ht="14.4" x14ac:dyDescent="0.3">
      <c r="A19" s="31">
        <v>44934</v>
      </c>
      <c r="B19" s="16" t="s">
        <v>155</v>
      </c>
      <c r="C19" s="16" t="e">
        <v>#N/A</v>
      </c>
    </row>
    <row r="20" spans="1:3" ht="14.4" x14ac:dyDescent="0.3">
      <c r="A20" s="31">
        <v>44935</v>
      </c>
      <c r="B20" s="16" t="s">
        <v>156</v>
      </c>
      <c r="C20" s="16">
        <v>30</v>
      </c>
    </row>
    <row r="21" spans="1:3" ht="14.4" x14ac:dyDescent="0.3">
      <c r="A21" s="31">
        <v>44936</v>
      </c>
      <c r="B21" s="16" t="s">
        <v>157</v>
      </c>
      <c r="C21" s="16" t="e">
        <v>#N/A</v>
      </c>
    </row>
    <row r="22" spans="1:3" ht="14.4" x14ac:dyDescent="0.3">
      <c r="B22" s="16" t="s">
        <v>158</v>
      </c>
      <c r="C22" s="24">
        <f>_xlfn.AGGREGATE(9,6,C12:C21)+COUNTIF(C12:C21,#N/A)*20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B6" sqref="B6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1" t="s">
        <v>98</v>
      </c>
      <c r="B1" s="40" t="s">
        <v>174</v>
      </c>
    </row>
    <row r="3" spans="1:14" ht="14.4" x14ac:dyDescent="0.3">
      <c r="B3" s="1" t="s">
        <v>150</v>
      </c>
    </row>
    <row r="4" spans="1:14" ht="18" x14ac:dyDescent="0.35">
      <c r="A4" s="42" t="s">
        <v>178</v>
      </c>
      <c r="B4" s="2" t="s">
        <v>177</v>
      </c>
    </row>
    <row r="5" spans="1:14" ht="18" x14ac:dyDescent="0.35">
      <c r="A5" s="42" t="s">
        <v>152</v>
      </c>
      <c r="B5" s="1" t="s">
        <v>179</v>
      </c>
    </row>
    <row r="6" spans="1:14" ht="14.4" x14ac:dyDescent="0.3">
      <c r="A6" s="3"/>
      <c r="B6" s="1"/>
    </row>
    <row r="8" spans="1:14" ht="23.4" x14ac:dyDescent="0.45">
      <c r="A8" s="17" t="s">
        <v>161</v>
      </c>
      <c r="M8" s="17" t="s">
        <v>162</v>
      </c>
    </row>
    <row r="9" spans="1:14" ht="14.4" x14ac:dyDescent="0.3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4" x14ac:dyDescent="0.3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4" x14ac:dyDescent="0.3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4" x14ac:dyDescent="0.3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4" x14ac:dyDescent="0.3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4" x14ac:dyDescent="0.3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4" x14ac:dyDescent="0.3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4" x14ac:dyDescent="0.3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4" x14ac:dyDescent="0.3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4" x14ac:dyDescent="0.3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4" x14ac:dyDescent="0.45">
      <c r="A21" s="17" t="s">
        <v>167</v>
      </c>
    </row>
    <row r="22" spans="1:14" ht="14.4" x14ac:dyDescent="0.3">
      <c r="A22" s="13" t="s">
        <v>100</v>
      </c>
      <c r="B22" s="16" t="s">
        <v>101</v>
      </c>
      <c r="C22" s="15" t="s">
        <v>102</v>
      </c>
    </row>
    <row r="23" spans="1:14" ht="14.4" x14ac:dyDescent="0.3">
      <c r="A23" s="7">
        <v>10100</v>
      </c>
      <c r="B23" s="11">
        <v>10102</v>
      </c>
      <c r="C23" s="43">
        <f>INDEX($B$10:$J$18,MATCH(INDEX($N$10:$N$18,MATCH(A23,$M$10:$M$18)),$A$10:$A$18),MATCH(INDEX($N$10:$N$18,MATCH(B23,$M$10:$M$18)),$B$9:$J$9))</f>
        <v>95</v>
      </c>
    </row>
    <row r="24" spans="1:14" ht="14.4" x14ac:dyDescent="0.3">
      <c r="A24" s="7">
        <v>10100</v>
      </c>
      <c r="B24" s="11">
        <v>10104</v>
      </c>
      <c r="C24" s="43">
        <f t="shared" ref="C24:C35" si="0">INDEX($B$10:$J$18,MATCH(INDEX($N$10:$N$18,MATCH(A24,$M$10:$M$18)),$A$10:$A$18),MATCH(INDEX($N$10:$N$18,MATCH(B24,$M$10:$M$18)),$B$9:$J$9))</f>
        <v>-1</v>
      </c>
    </row>
    <row r="25" spans="1:14" ht="14.4" x14ac:dyDescent="0.3">
      <c r="A25" s="7">
        <v>10108</v>
      </c>
      <c r="B25" s="11">
        <v>10102</v>
      </c>
      <c r="C25" s="43">
        <f t="shared" si="0"/>
        <v>160</v>
      </c>
    </row>
    <row r="26" spans="1:14" ht="14.4" x14ac:dyDescent="0.3">
      <c r="A26" s="7">
        <v>10100</v>
      </c>
      <c r="B26" s="11">
        <v>10106</v>
      </c>
      <c r="C26" s="43">
        <f t="shared" si="0"/>
        <v>185</v>
      </c>
    </row>
    <row r="27" spans="1:14" ht="14.4" x14ac:dyDescent="0.3">
      <c r="A27" s="7">
        <v>10108</v>
      </c>
      <c r="B27" s="11">
        <v>10110</v>
      </c>
      <c r="C27" s="43">
        <f t="shared" si="0"/>
        <v>50</v>
      </c>
    </row>
    <row r="28" spans="1:14" ht="14.4" x14ac:dyDescent="0.3">
      <c r="A28" s="7">
        <v>10102</v>
      </c>
      <c r="B28" s="11">
        <v>10104</v>
      </c>
      <c r="C28" s="43">
        <f t="shared" si="0"/>
        <v>-1</v>
      </c>
    </row>
    <row r="29" spans="1:14" ht="14.4" x14ac:dyDescent="0.3">
      <c r="A29" s="7">
        <v>10106</v>
      </c>
      <c r="B29" s="11">
        <v>10108</v>
      </c>
      <c r="C29" s="43">
        <f t="shared" si="0"/>
        <v>70</v>
      </c>
    </row>
    <row r="30" spans="1:14" ht="14.4" x14ac:dyDescent="0.3">
      <c r="A30" s="7">
        <v>10102</v>
      </c>
      <c r="B30" s="11">
        <v>10106</v>
      </c>
      <c r="C30" s="43">
        <f t="shared" si="0"/>
        <v>90</v>
      </c>
    </row>
    <row r="31" spans="1:14" ht="14.4" x14ac:dyDescent="0.3">
      <c r="A31" s="7">
        <v>10110</v>
      </c>
      <c r="B31" s="11">
        <v>10114</v>
      </c>
      <c r="C31" s="43">
        <f t="shared" si="0"/>
        <v>180</v>
      </c>
    </row>
    <row r="32" spans="1:14" ht="14.4" x14ac:dyDescent="0.3">
      <c r="A32" s="7">
        <v>10104</v>
      </c>
      <c r="B32" s="11">
        <v>10106</v>
      </c>
      <c r="C32" s="43">
        <f t="shared" si="0"/>
        <v>60</v>
      </c>
    </row>
    <row r="33" spans="1:3" ht="14.4" x14ac:dyDescent="0.3">
      <c r="A33" s="7">
        <v>10110</v>
      </c>
      <c r="B33" s="11">
        <v>10112</v>
      </c>
      <c r="C33" s="43">
        <f t="shared" si="0"/>
        <v>115</v>
      </c>
    </row>
    <row r="34" spans="1:3" ht="14.4" x14ac:dyDescent="0.3">
      <c r="A34" s="7">
        <v>10100</v>
      </c>
      <c r="B34" s="11">
        <v>10114</v>
      </c>
      <c r="C34" s="43">
        <f t="shared" si="0"/>
        <v>480</v>
      </c>
    </row>
    <row r="35" spans="1:3" ht="14.4" x14ac:dyDescent="0.3">
      <c r="A35" s="8">
        <v>10112</v>
      </c>
      <c r="B35" s="12">
        <v>10116</v>
      </c>
      <c r="C35" s="43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Naveenkumar Kushwaha</cp:lastModifiedBy>
  <dcterms:created xsi:type="dcterms:W3CDTF">2015-02-10T17:33:11Z</dcterms:created>
  <dcterms:modified xsi:type="dcterms:W3CDTF">2024-10-23T19:01:35Z</dcterms:modified>
</cp:coreProperties>
</file>